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1F4E1E6-A8B2-4D44-B814-75482E9F2B4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Gantt Cha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6" i="1" l="1"/>
  <c r="F35" i="1"/>
  <c r="F34" i="1"/>
  <c r="F32" i="1"/>
  <c r="F31" i="1"/>
  <c r="F30" i="1"/>
  <c r="F28" i="1"/>
  <c r="F27" i="1"/>
  <c r="F26" i="1"/>
  <c r="F25" i="1"/>
  <c r="F23" i="1"/>
  <c r="F22" i="1"/>
  <c r="F21" i="1"/>
  <c r="F20" i="1"/>
  <c r="F19" i="1"/>
  <c r="F17" i="1"/>
  <c r="F16" i="1"/>
  <c r="F15" i="1"/>
  <c r="F13" i="1"/>
  <c r="F12" i="1"/>
  <c r="F11" i="1"/>
  <c r="F10" i="1"/>
  <c r="F9" i="1"/>
  <c r="Q6" i="1"/>
  <c r="P6" i="1"/>
  <c r="O6" i="1"/>
  <c r="N6" i="1"/>
  <c r="M6" i="1"/>
  <c r="L6" i="1"/>
  <c r="K6" i="1"/>
  <c r="J6" i="1"/>
  <c r="I6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" authorId="0" shapeId="0" xr:uid="{00000000-0006-0000-0000-000001000000}">
      <text>
        <r>
          <rPr>
            <sz val="10"/>
            <rFont val="Arial"/>
            <family val="2"/>
          </rPr>
          <t>Assumption: semester Week 8 = week of 26 Oct 2026. Change this date and all dates update.</t>
        </r>
      </text>
    </comment>
  </commentList>
</comments>
</file>

<file path=xl/sharedStrings.xml><?xml version="1.0" encoding="utf-8"?>
<sst xmlns="http://schemas.openxmlformats.org/spreadsheetml/2006/main" count="142" uniqueCount="83">
  <si>
    <t>Gantt Chart: UniGreen Project (semester Weeks 6–10)</t>
  </si>
  <si>
    <t>Monday of semester Week 6:</t>
  </si>
  <si>
    <t>How to edit: change BLUE cells only. Start/End use half-weeks: 8 = Week 8 Mon–Wed, 8.5 = Week 8 Thu–Sun. Bars move automatically. The red column is today.</t>
  </si>
  <si>
    <t>ID</t>
  </si>
  <si>
    <t>Task</t>
  </si>
  <si>
    <t>Who</t>
  </si>
  <si>
    <t>Start</t>
  </si>
  <si>
    <t>End</t>
  </si>
  <si>
    <t>Weeks</t>
  </si>
  <si>
    <t>Status</t>
  </si>
  <si>
    <t>Week 6</t>
  </si>
  <si>
    <t>Week 7</t>
  </si>
  <si>
    <t>Week 8</t>
  </si>
  <si>
    <t>Week 9</t>
  </si>
  <si>
    <t>Week 10</t>
  </si>
  <si>
    <t>Mon–Wed</t>
  </si>
  <si>
    <t>Thu–Sun</t>
  </si>
  <si>
    <t>1</t>
  </si>
  <si>
    <t>Planning &amp; Analysis</t>
  </si>
  <si>
    <t>1.1</t>
  </si>
  <si>
    <t>Write project proposal</t>
  </si>
  <si>
    <t>All</t>
  </si>
  <si>
    <t>Done</t>
  </si>
  <si>
    <t>1.2</t>
  </si>
  <si>
    <t>Gather requirements</t>
  </si>
  <si>
    <t>1.3</t>
  </si>
  <si>
    <t>Draw use case diagram</t>
  </si>
  <si>
    <t>1.4</t>
  </si>
  <si>
    <t>Draw DFD (Level 0 &amp; 1)</t>
  </si>
  <si>
    <t>1.5</t>
  </si>
  <si>
    <t>Make WBS &amp; Gantt chart</t>
  </si>
  <si>
    <t>2</t>
  </si>
  <si>
    <t>Design</t>
  </si>
  <si>
    <t>2.1</t>
  </si>
  <si>
    <t>Design database (ERD)</t>
  </si>
  <si>
    <t>Database</t>
  </si>
  <si>
    <t>2.2</t>
  </si>
  <si>
    <t>Design system architecture</t>
  </si>
  <si>
    <t>Backend</t>
  </si>
  <si>
    <t>2.3</t>
  </si>
  <si>
    <t>Design screens in Figma</t>
  </si>
  <si>
    <t>Frontend</t>
  </si>
  <si>
    <t>Planned</t>
  </si>
  <si>
    <t>3</t>
  </si>
  <si>
    <t>Backend (FastAPI)</t>
  </si>
  <si>
    <t>3.1</t>
  </si>
  <si>
    <t>Sign up, login &amp; logout</t>
  </si>
  <si>
    <t>3.2</t>
  </si>
  <si>
    <t>Bins, recycling log &amp; points</t>
  </si>
  <si>
    <t>3.3</t>
  </si>
  <si>
    <t>Pickups &amp; bin reports</t>
  </si>
  <si>
    <t>3.4</t>
  </si>
  <si>
    <t>Rewards &amp; coupons</t>
  </si>
  <si>
    <t>3.5</t>
  </si>
  <si>
    <t>Admin features &amp; reports</t>
  </si>
  <si>
    <t>4</t>
  </si>
  <si>
    <t>Frontend &amp; UI</t>
  </si>
  <si>
    <t>4.1</t>
  </si>
  <si>
    <t>Base layout &amp; green theme</t>
  </si>
  <si>
    <t>In progress</t>
  </si>
  <si>
    <t>4.2</t>
  </si>
  <si>
    <t>Student pages</t>
  </si>
  <si>
    <t>4.3</t>
  </si>
  <si>
    <t>Admin pages &amp; charts</t>
  </si>
  <si>
    <t>4.4</t>
  </si>
  <si>
    <t>Splash screen (if time allows)</t>
  </si>
  <si>
    <t>5</t>
  </si>
  <si>
    <t>Testing</t>
  </si>
  <si>
    <t>5.1</t>
  </si>
  <si>
    <t>Unit &amp; API testing</t>
  </si>
  <si>
    <t>5.2</t>
  </si>
  <si>
    <t>Mobile &amp; browser testing</t>
  </si>
  <si>
    <t>5.3</t>
  </si>
  <si>
    <t>Fix bugs</t>
  </si>
  <si>
    <t>6</t>
  </si>
  <si>
    <t>Deployment &amp; Docs</t>
  </si>
  <si>
    <t>6.1</t>
  </si>
  <si>
    <t>Deploy online</t>
  </si>
  <si>
    <t>6.2</t>
  </si>
  <si>
    <t>Final report &amp; user guide</t>
  </si>
  <si>
    <t>6.3</t>
  </si>
  <si>
    <t>Presentation &amp; viva demo</t>
  </si>
  <si>
    <t>Colours (WBS parts):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</si>
</sst>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dd\ mmm"/>
    <numFmt numFmtId="166" formatCode="0.0"/>
  </numFmts>
  <fonts count="15" x14ac:knownFonts="1">
    <font>
      <sz val="11"/>
      <color theme="1"/>
      <name val="Calibri"/>
      <family val="2"/>
      <charset val="1"/>
    </font>
    <font>
      <b/>
      <sz val="18"/>
      <color rgb="FF1F2A44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i/>
      <sz val="9"/>
      <color rgb="FF5B6270"/>
      <name val="Arial"/>
      <charset val="1"/>
    </font>
    <font>
      <b/>
      <sz val="10"/>
      <color rgb="FFFFFFFF"/>
      <name val="Arial"/>
      <charset val="1"/>
    </font>
    <font>
      <sz val="8"/>
      <color rgb="FFC9D1E3"/>
      <name val="Arial"/>
      <charset val="1"/>
    </font>
    <font>
      <b/>
      <sz val="10"/>
      <color rgb="FF1F2A44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color rgb="FF1F2A44"/>
      <name val="Arial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  <fill>
      <patternFill patternType="solid">
        <fgColor rgb="FF1F7A6C"/>
        <bgColor rgb="FF008080"/>
      </patternFill>
    </fill>
    <fill>
      <patternFill patternType="solid">
        <fgColor rgb="FFEFEADF"/>
        <bgColor rgb="FFE0DACD"/>
      </patternFill>
    </fill>
    <fill>
      <patternFill patternType="solid">
        <fgColor rgb="FFF2A04A"/>
        <bgColor rgb="FFFF8080"/>
      </patternFill>
    </fill>
    <fill>
      <patternFill patternType="solid">
        <fgColor rgb="FF5E9E3E"/>
        <bgColor rgb="FF808000"/>
      </patternFill>
    </fill>
    <fill>
      <patternFill patternType="solid">
        <fgColor rgb="FF7B5EA7"/>
        <bgColor rgb="FF5B6270"/>
      </patternFill>
    </fill>
    <fill>
      <patternFill patternType="solid">
        <fgColor rgb="FFC9563C"/>
        <bgColor rgb="FFD32F2F"/>
      </patternFill>
    </fill>
  </fills>
  <borders count="2">
    <border>
      <left/>
      <right/>
      <top/>
      <bottom/>
      <diagonal/>
    </border>
    <border>
      <left style="thin">
        <color rgb="FFE0DACD"/>
      </left>
      <right style="thin">
        <color rgb="FFE0DACD"/>
      </right>
      <top style="thin">
        <color rgb="FFE0DACD"/>
      </top>
      <bottom style="thin">
        <color rgb="FFE0DAC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3" borderId="0" xfId="0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5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7" fillId="6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0" fillId="0" borderId="0" xfId="0" applyFont="1"/>
    <xf numFmtId="0" fontId="11" fillId="4" borderId="0" xfId="0" applyFont="1" applyFill="1" applyAlignment="1">
      <alignment horizontal="center"/>
    </xf>
    <xf numFmtId="0" fontId="12" fillId="0" borderId="0" xfId="0" applyFont="1"/>
    <xf numFmtId="0" fontId="13" fillId="6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</cellXfs>
  <cellStyles count="1">
    <cellStyle name="Normal" xfId="0" builtinId="0"/>
  </cellStyles>
  <dxfs count="9">
    <dxf>
      <fill>
        <patternFill>
          <bgColor rgb="FFC9563C"/>
        </patternFill>
      </fill>
    </dxf>
    <dxf>
      <fill>
        <patternFill>
          <bgColor rgb="FF7B5EA7"/>
        </patternFill>
      </fill>
    </dxf>
    <dxf>
      <fill>
        <patternFill>
          <bgColor rgb="FF5E9E3E"/>
        </patternFill>
      </fill>
    </dxf>
    <dxf>
      <fill>
        <patternFill>
          <bgColor rgb="FF1F2A44"/>
        </patternFill>
      </fill>
    </dxf>
    <dxf>
      <fill>
        <patternFill>
          <bgColor rgb="FFF2A04A"/>
        </patternFill>
      </fill>
    </dxf>
    <dxf>
      <fill>
        <patternFill>
          <bgColor rgb="FF1F7A6C"/>
        </patternFill>
      </fill>
    </dxf>
    <dxf>
      <fill>
        <patternFill>
          <bgColor rgb="FFD32F2F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C"/>
      <rgbColor rgb="FFE0DACD"/>
      <rgbColor rgb="FF5B6270"/>
      <rgbColor rgb="FF9999FF"/>
      <rgbColor rgb="FF993366"/>
      <rgbColor rgb="FFEFEADF"/>
      <rgbColor rgb="FFCCFFFF"/>
      <rgbColor rgb="FF660066"/>
      <rgbColor rgb="FFFF8080"/>
      <rgbColor rgb="FF0066CC"/>
      <rgbColor rgb="FFC9D1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2A04A"/>
      <rgbColor rgb="FFC9563C"/>
      <rgbColor rgb="FF7B5EA7"/>
      <rgbColor rgb="FF969696"/>
      <rgbColor rgb="FF003366"/>
      <rgbColor rgb="FF5E9E3E"/>
      <rgbColor rgb="FF003300"/>
      <rgbColor rgb="FF333300"/>
      <rgbColor rgb="FFD32F2F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showGridLines="0" tabSelected="1" topLeftCell="A5" zoomScale="74" zoomScaleNormal="100" workbookViewId="0">
      <selection activeCell="T27" sqref="T27"/>
    </sheetView>
  </sheetViews>
  <sheetFormatPr defaultColWidth="8.6328125" defaultRowHeight="14.5" x14ac:dyDescent="0.35"/>
  <cols>
    <col min="1" max="1" width="6" customWidth="1"/>
    <col min="2" max="2" width="31" customWidth="1"/>
    <col min="3" max="3" width="11" customWidth="1"/>
    <col min="4" max="6" width="8" customWidth="1"/>
    <col min="7" max="7" width="12" customWidth="1"/>
    <col min="8" max="17" width="10" customWidth="1"/>
  </cols>
  <sheetData>
    <row r="1" spans="1:17" ht="21.75" customHeight="1" x14ac:dyDescent="0.5">
      <c r="A1" s="4" t="s">
        <v>0</v>
      </c>
    </row>
    <row r="2" spans="1:17" ht="15" customHeight="1" x14ac:dyDescent="0.35">
      <c r="A2" s="5" t="s">
        <v>1</v>
      </c>
      <c r="D2" s="3">
        <v>46307</v>
      </c>
      <c r="E2" s="3"/>
      <c r="G2" s="6" t="s">
        <v>2</v>
      </c>
    </row>
    <row r="4" spans="1:17" ht="15" customHeight="1" x14ac:dyDescent="0.35">
      <c r="A4" s="2" t="s">
        <v>3</v>
      </c>
      <c r="B4" s="1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/>
      <c r="J4" s="2" t="s">
        <v>11</v>
      </c>
      <c r="K4" s="2"/>
      <c r="L4" s="2" t="s">
        <v>12</v>
      </c>
      <c r="M4" s="2"/>
      <c r="N4" s="2" t="s">
        <v>13</v>
      </c>
      <c r="O4" s="2"/>
      <c r="P4" s="2" t="s">
        <v>14</v>
      </c>
      <c r="Q4" s="2"/>
    </row>
    <row r="5" spans="1:17" ht="15" customHeight="1" x14ac:dyDescent="0.35">
      <c r="A5" s="2"/>
      <c r="B5" s="2"/>
      <c r="C5" s="2"/>
      <c r="D5" s="2"/>
      <c r="E5" s="2"/>
      <c r="F5" s="2"/>
      <c r="G5" s="2"/>
      <c r="H5" s="7" t="s">
        <v>15</v>
      </c>
      <c r="I5" s="7" t="s">
        <v>16</v>
      </c>
      <c r="J5" s="7" t="s">
        <v>15</v>
      </c>
      <c r="K5" s="7" t="s">
        <v>16</v>
      </c>
      <c r="L5" s="7" t="s">
        <v>15</v>
      </c>
      <c r="M5" s="7" t="s">
        <v>16</v>
      </c>
      <c r="N5" s="7" t="s">
        <v>15</v>
      </c>
      <c r="O5" s="7" t="s">
        <v>16</v>
      </c>
      <c r="P5" s="7" t="s">
        <v>15</v>
      </c>
      <c r="Q5" s="7" t="s">
        <v>16</v>
      </c>
    </row>
    <row r="6" spans="1:17" ht="15" customHeight="1" x14ac:dyDescent="0.35">
      <c r="A6" s="2"/>
      <c r="B6" s="2"/>
      <c r="C6" s="2"/>
      <c r="D6" s="2"/>
      <c r="E6" s="2"/>
      <c r="F6" s="2"/>
      <c r="G6" s="2"/>
      <c r="H6" s="8">
        <f t="shared" ref="H6:Q6" si="0">$D$2+7*(INT(H$7)-6)+IF(MOD(H$7,1)&gt;0,3,0)</f>
        <v>46307</v>
      </c>
      <c r="I6" s="8">
        <f t="shared" si="0"/>
        <v>46310</v>
      </c>
      <c r="J6" s="8">
        <f t="shared" si="0"/>
        <v>46314</v>
      </c>
      <c r="K6" s="8">
        <f t="shared" si="0"/>
        <v>46317</v>
      </c>
      <c r="L6" s="8">
        <f t="shared" si="0"/>
        <v>46321</v>
      </c>
      <c r="M6" s="8">
        <f t="shared" si="0"/>
        <v>46324</v>
      </c>
      <c r="N6" s="8">
        <f t="shared" si="0"/>
        <v>46328</v>
      </c>
      <c r="O6" s="8">
        <f t="shared" si="0"/>
        <v>46331</v>
      </c>
      <c r="P6" s="8">
        <f t="shared" si="0"/>
        <v>46335</v>
      </c>
      <c r="Q6" s="8">
        <f t="shared" si="0"/>
        <v>46338</v>
      </c>
    </row>
    <row r="7" spans="1:17" ht="15" hidden="1" customHeight="1" x14ac:dyDescent="0.35">
      <c r="H7">
        <v>6</v>
      </c>
      <c r="I7">
        <v>6.5</v>
      </c>
      <c r="J7">
        <v>7</v>
      </c>
      <c r="K7">
        <v>7.5</v>
      </c>
      <c r="L7">
        <v>8</v>
      </c>
      <c r="M7">
        <v>8.5</v>
      </c>
      <c r="N7">
        <v>9</v>
      </c>
      <c r="O7">
        <v>9.5</v>
      </c>
      <c r="P7">
        <v>10</v>
      </c>
      <c r="Q7">
        <v>10.5</v>
      </c>
    </row>
    <row r="8" spans="1:17" ht="19.5" customHeight="1" x14ac:dyDescent="0.35">
      <c r="A8" s="9" t="s">
        <v>17</v>
      </c>
      <c r="B8" s="10" t="s">
        <v>18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9.5" customHeight="1" x14ac:dyDescent="0.35">
      <c r="A9" s="11" t="s">
        <v>19</v>
      </c>
      <c r="B9" s="12" t="s">
        <v>20</v>
      </c>
      <c r="C9" s="13" t="s">
        <v>21</v>
      </c>
      <c r="D9" s="14">
        <v>6</v>
      </c>
      <c r="E9" s="14">
        <v>6</v>
      </c>
      <c r="F9" s="15">
        <f>E9-D9+0.5</f>
        <v>0.5</v>
      </c>
      <c r="G9" s="13" t="s">
        <v>22</v>
      </c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ht="19.5" customHeight="1" x14ac:dyDescent="0.35">
      <c r="A10" s="11" t="s">
        <v>23</v>
      </c>
      <c r="B10" s="12" t="s">
        <v>24</v>
      </c>
      <c r="C10" s="13" t="s">
        <v>21</v>
      </c>
      <c r="D10" s="14">
        <v>6</v>
      </c>
      <c r="E10" s="14">
        <v>7</v>
      </c>
      <c r="F10" s="15">
        <f>E10-D10+0.5</f>
        <v>1.5</v>
      </c>
      <c r="G10" s="13" t="s">
        <v>22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ht="19.5" customHeight="1" x14ac:dyDescent="0.35">
      <c r="A11" s="11" t="s">
        <v>25</v>
      </c>
      <c r="B11" s="12" t="s">
        <v>26</v>
      </c>
      <c r="C11" s="13" t="s">
        <v>21</v>
      </c>
      <c r="D11" s="14">
        <v>8</v>
      </c>
      <c r="E11" s="14">
        <v>8</v>
      </c>
      <c r="F11" s="15">
        <f>E11-D11+0.5</f>
        <v>0.5</v>
      </c>
      <c r="G11" s="13" t="s">
        <v>22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ht="19.5" customHeight="1" x14ac:dyDescent="0.35">
      <c r="A12" s="11" t="s">
        <v>27</v>
      </c>
      <c r="B12" s="12" t="s">
        <v>28</v>
      </c>
      <c r="C12" s="13" t="s">
        <v>21</v>
      </c>
      <c r="D12" s="14">
        <v>8</v>
      </c>
      <c r="E12" s="14">
        <v>8</v>
      </c>
      <c r="F12" s="15">
        <f>E12-D12+0.5</f>
        <v>0.5</v>
      </c>
      <c r="G12" s="13" t="s">
        <v>22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 ht="19.5" customHeight="1" x14ac:dyDescent="0.35">
      <c r="A13" s="11" t="s">
        <v>29</v>
      </c>
      <c r="B13" s="12" t="s">
        <v>30</v>
      </c>
      <c r="C13" s="13" t="s">
        <v>21</v>
      </c>
      <c r="D13" s="14">
        <v>8</v>
      </c>
      <c r="E13" s="14">
        <v>8</v>
      </c>
      <c r="F13" s="15">
        <f>E13-D13+0.5</f>
        <v>0.5</v>
      </c>
      <c r="G13" s="13" t="s">
        <v>22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ht="19.5" customHeight="1" x14ac:dyDescent="0.35">
      <c r="A14" s="17" t="s">
        <v>31</v>
      </c>
      <c r="B14" s="10" t="s">
        <v>32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19.5" customHeight="1" x14ac:dyDescent="0.35">
      <c r="A15" s="11" t="s">
        <v>33</v>
      </c>
      <c r="B15" s="12" t="s">
        <v>34</v>
      </c>
      <c r="C15" s="13" t="s">
        <v>35</v>
      </c>
      <c r="D15" s="14">
        <v>7</v>
      </c>
      <c r="E15" s="14">
        <v>7.5</v>
      </c>
      <c r="F15" s="15">
        <f>E15-D15+0.5</f>
        <v>1</v>
      </c>
      <c r="G15" s="13" t="s">
        <v>22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ht="19.5" customHeight="1" x14ac:dyDescent="0.35">
      <c r="A16" s="11" t="s">
        <v>36</v>
      </c>
      <c r="B16" s="12" t="s">
        <v>37</v>
      </c>
      <c r="C16" s="13" t="s">
        <v>38</v>
      </c>
      <c r="D16" s="14">
        <v>7</v>
      </c>
      <c r="E16" s="14">
        <v>7.5</v>
      </c>
      <c r="F16" s="15">
        <f>E16-D16+0.5</f>
        <v>1</v>
      </c>
      <c r="G16" s="13" t="s">
        <v>22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ht="19.5" customHeight="1" x14ac:dyDescent="0.35">
      <c r="A17" s="11" t="s">
        <v>39</v>
      </c>
      <c r="B17" s="12" t="s">
        <v>40</v>
      </c>
      <c r="C17" s="13" t="s">
        <v>41</v>
      </c>
      <c r="D17" s="14">
        <v>8</v>
      </c>
      <c r="E17" s="14">
        <v>8</v>
      </c>
      <c r="F17" s="15">
        <f>E17-D17+0.5</f>
        <v>0.5</v>
      </c>
      <c r="G17" s="13" t="s">
        <v>42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ht="19.5" customHeight="1" x14ac:dyDescent="0.35">
      <c r="A18" s="18" t="s">
        <v>43</v>
      </c>
      <c r="B18" s="10" t="s">
        <v>44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19.5" customHeight="1" x14ac:dyDescent="0.35">
      <c r="A19" s="11" t="s">
        <v>45</v>
      </c>
      <c r="B19" s="12" t="s">
        <v>46</v>
      </c>
      <c r="C19" s="13" t="s">
        <v>38</v>
      </c>
      <c r="D19" s="14">
        <v>7</v>
      </c>
      <c r="E19" s="14">
        <v>8</v>
      </c>
      <c r="F19" s="15">
        <f>E19-D19+0.5</f>
        <v>1.5</v>
      </c>
      <c r="G19" s="13" t="s">
        <v>22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19.5" customHeight="1" x14ac:dyDescent="0.35">
      <c r="A20" s="11" t="s">
        <v>47</v>
      </c>
      <c r="B20" s="12" t="s">
        <v>48</v>
      </c>
      <c r="C20" s="13" t="s">
        <v>38</v>
      </c>
      <c r="D20" s="14">
        <v>8.5</v>
      </c>
      <c r="E20" s="14">
        <v>9</v>
      </c>
      <c r="F20" s="15">
        <f>E20-D20+0.5</f>
        <v>1</v>
      </c>
      <c r="G20" s="13" t="s">
        <v>42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ht="19.5" customHeight="1" x14ac:dyDescent="0.35">
      <c r="A21" s="11" t="s">
        <v>49</v>
      </c>
      <c r="B21" s="12" t="s">
        <v>50</v>
      </c>
      <c r="C21" s="13" t="s">
        <v>38</v>
      </c>
      <c r="D21" s="14">
        <v>9</v>
      </c>
      <c r="E21" s="14">
        <v>9</v>
      </c>
      <c r="F21" s="15">
        <f>E21-D21+0.5</f>
        <v>0.5</v>
      </c>
      <c r="G21" s="13" t="s">
        <v>42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17" ht="19.5" customHeight="1" x14ac:dyDescent="0.35">
      <c r="A22" s="11" t="s">
        <v>51</v>
      </c>
      <c r="B22" s="12" t="s">
        <v>52</v>
      </c>
      <c r="C22" s="13" t="s">
        <v>38</v>
      </c>
      <c r="D22" s="14">
        <v>9.5</v>
      </c>
      <c r="E22" s="14">
        <v>9.5</v>
      </c>
      <c r="F22" s="15">
        <f>E22-D22+0.5</f>
        <v>0.5</v>
      </c>
      <c r="G22" s="13" t="s">
        <v>42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ht="19.5" customHeight="1" x14ac:dyDescent="0.35">
      <c r="A23" s="11" t="s">
        <v>53</v>
      </c>
      <c r="B23" s="12" t="s">
        <v>54</v>
      </c>
      <c r="C23" s="13" t="s">
        <v>38</v>
      </c>
      <c r="D23" s="14">
        <v>9.5</v>
      </c>
      <c r="E23" s="14">
        <v>10</v>
      </c>
      <c r="F23" s="15">
        <f>E23-D23+0.5</f>
        <v>1</v>
      </c>
      <c r="G23" s="13" t="s">
        <v>42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17" ht="19.5" customHeight="1" x14ac:dyDescent="0.35">
      <c r="A24" s="19" t="s">
        <v>55</v>
      </c>
      <c r="B24" s="10" t="s">
        <v>56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19.5" customHeight="1" x14ac:dyDescent="0.35">
      <c r="A25" s="11" t="s">
        <v>57</v>
      </c>
      <c r="B25" s="12" t="s">
        <v>58</v>
      </c>
      <c r="C25" s="13" t="s">
        <v>41</v>
      </c>
      <c r="D25" s="14">
        <v>8</v>
      </c>
      <c r="E25" s="14">
        <v>8.5</v>
      </c>
      <c r="F25" s="15">
        <f>E25-D25+0.5</f>
        <v>1</v>
      </c>
      <c r="G25" s="13" t="s">
        <v>59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 ht="19.5" customHeight="1" x14ac:dyDescent="0.35">
      <c r="A26" s="11" t="s">
        <v>60</v>
      </c>
      <c r="B26" s="12" t="s">
        <v>61</v>
      </c>
      <c r="C26" s="13" t="s">
        <v>41</v>
      </c>
      <c r="D26" s="14">
        <v>8.5</v>
      </c>
      <c r="E26" s="14">
        <v>9.5</v>
      </c>
      <c r="F26" s="15">
        <f>E26-D26+0.5</f>
        <v>1.5</v>
      </c>
      <c r="G26" s="13" t="s">
        <v>42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ht="19.5" customHeight="1" x14ac:dyDescent="0.35">
      <c r="A27" s="11" t="s">
        <v>62</v>
      </c>
      <c r="B27" s="12" t="s">
        <v>63</v>
      </c>
      <c r="C27" s="13" t="s">
        <v>41</v>
      </c>
      <c r="D27" s="14">
        <v>9.5</v>
      </c>
      <c r="E27" s="14">
        <v>10</v>
      </c>
      <c r="F27" s="15">
        <f>E27-D27+0.5</f>
        <v>1</v>
      </c>
      <c r="G27" s="13" t="s">
        <v>42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 ht="19.5" customHeight="1" x14ac:dyDescent="0.35">
      <c r="A28" s="11" t="s">
        <v>64</v>
      </c>
      <c r="B28" s="12" t="s">
        <v>65</v>
      </c>
      <c r="C28" s="13" t="s">
        <v>41</v>
      </c>
      <c r="D28" s="14">
        <v>10</v>
      </c>
      <c r="E28" s="14">
        <v>10</v>
      </c>
      <c r="F28" s="15">
        <f>E28-D28+0.5</f>
        <v>0.5</v>
      </c>
      <c r="G28" s="13" t="s">
        <v>42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ht="19.5" customHeight="1" x14ac:dyDescent="0.35">
      <c r="A29" s="20" t="s">
        <v>66</v>
      </c>
      <c r="B29" s="10" t="s">
        <v>67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19.5" customHeight="1" x14ac:dyDescent="0.35">
      <c r="A30" s="11" t="s">
        <v>68</v>
      </c>
      <c r="B30" s="12" t="s">
        <v>69</v>
      </c>
      <c r="C30" s="13" t="s">
        <v>21</v>
      </c>
      <c r="D30" s="14">
        <v>9</v>
      </c>
      <c r="E30" s="14">
        <v>10</v>
      </c>
      <c r="F30" s="15">
        <f>E30-D30+0.5</f>
        <v>1.5</v>
      </c>
      <c r="G30" s="13" t="s">
        <v>42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 ht="19.5" customHeight="1" x14ac:dyDescent="0.35">
      <c r="A31" s="11" t="s">
        <v>70</v>
      </c>
      <c r="B31" s="12" t="s">
        <v>71</v>
      </c>
      <c r="C31" s="13" t="s">
        <v>21</v>
      </c>
      <c r="D31" s="14">
        <v>10</v>
      </c>
      <c r="E31" s="14">
        <v>10</v>
      </c>
      <c r="F31" s="15">
        <f>E31-D31+0.5</f>
        <v>0.5</v>
      </c>
      <c r="G31" s="13" t="s">
        <v>42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 ht="19.5" customHeight="1" x14ac:dyDescent="0.35">
      <c r="A32" s="11" t="s">
        <v>72</v>
      </c>
      <c r="B32" s="12" t="s">
        <v>73</v>
      </c>
      <c r="C32" s="13" t="s">
        <v>21</v>
      </c>
      <c r="D32" s="14">
        <v>10</v>
      </c>
      <c r="E32" s="14">
        <v>10.5</v>
      </c>
      <c r="F32" s="15">
        <f>E32-D32+0.5</f>
        <v>1</v>
      </c>
      <c r="G32" s="13" t="s">
        <v>42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ht="19.5" customHeight="1" x14ac:dyDescent="0.35">
      <c r="A33" s="21" t="s">
        <v>74</v>
      </c>
      <c r="B33" s="10" t="s">
        <v>75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19.5" customHeight="1" x14ac:dyDescent="0.35">
      <c r="A34" s="11" t="s">
        <v>76</v>
      </c>
      <c r="B34" s="12" t="s">
        <v>77</v>
      </c>
      <c r="C34" s="13" t="s">
        <v>38</v>
      </c>
      <c r="D34" s="14">
        <v>10.5</v>
      </c>
      <c r="E34" s="14">
        <v>10.5</v>
      </c>
      <c r="F34" s="15">
        <f>E34-D34+0.5</f>
        <v>0.5</v>
      </c>
      <c r="G34" s="13" t="s">
        <v>42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ht="19.5" customHeight="1" x14ac:dyDescent="0.35">
      <c r="A35" s="11" t="s">
        <v>78</v>
      </c>
      <c r="B35" s="12" t="s">
        <v>79</v>
      </c>
      <c r="C35" s="13" t="s">
        <v>21</v>
      </c>
      <c r="D35" s="14">
        <v>9.5</v>
      </c>
      <c r="E35" s="14">
        <v>10.5</v>
      </c>
      <c r="F35" s="15">
        <f>E35-D35+0.5</f>
        <v>1.5</v>
      </c>
      <c r="G35" s="13" t="s">
        <v>42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ht="19.5" customHeight="1" x14ac:dyDescent="0.35">
      <c r="A36" s="11" t="s">
        <v>80</v>
      </c>
      <c r="B36" s="12" t="s">
        <v>81</v>
      </c>
      <c r="C36" s="13" t="s">
        <v>21</v>
      </c>
      <c r="D36" s="14">
        <v>10.5</v>
      </c>
      <c r="E36" s="14">
        <v>10.5</v>
      </c>
      <c r="F36" s="15">
        <f>E36-D36+0.5</f>
        <v>0.5</v>
      </c>
      <c r="G36" s="13" t="s">
        <v>42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8" spans="1:17" ht="15" customHeight="1" x14ac:dyDescent="0.35">
      <c r="A38" s="22" t="s">
        <v>82</v>
      </c>
    </row>
    <row r="39" spans="1:17" ht="15" customHeight="1" x14ac:dyDescent="0.35">
      <c r="A39" s="23" t="s">
        <v>17</v>
      </c>
      <c r="B39" s="24" t="s">
        <v>18</v>
      </c>
    </row>
    <row r="40" spans="1:17" ht="15" customHeight="1" x14ac:dyDescent="0.35">
      <c r="A40" s="25" t="s">
        <v>31</v>
      </c>
      <c r="B40" s="24" t="s">
        <v>32</v>
      </c>
    </row>
    <row r="41" spans="1:17" ht="15" customHeight="1" x14ac:dyDescent="0.35">
      <c r="A41" s="26" t="s">
        <v>43</v>
      </c>
      <c r="B41" s="24" t="s">
        <v>44</v>
      </c>
    </row>
    <row r="42" spans="1:17" ht="15" customHeight="1" x14ac:dyDescent="0.35">
      <c r="A42" s="27" t="s">
        <v>55</v>
      </c>
      <c r="B42" s="24" t="s">
        <v>56</v>
      </c>
    </row>
    <row r="43" spans="1:17" ht="15" customHeight="1" x14ac:dyDescent="0.35">
      <c r="A43" s="28" t="s">
        <v>66</v>
      </c>
      <c r="B43" s="24" t="s">
        <v>67</v>
      </c>
    </row>
    <row r="44" spans="1:17" ht="15" customHeight="1" x14ac:dyDescent="0.35">
      <c r="A44" s="29" t="s">
        <v>74</v>
      </c>
      <c r="B44" s="24" t="s">
        <v>75</v>
      </c>
    </row>
  </sheetData>
  <mergeCells count="13">
    <mergeCell ref="N4:O4"/>
    <mergeCell ref="P4:Q4"/>
    <mergeCell ref="F4:F6"/>
    <mergeCell ref="G4:G6"/>
    <mergeCell ref="H4:I4"/>
    <mergeCell ref="J4:K4"/>
    <mergeCell ref="L4:M4"/>
    <mergeCell ref="D2:E2"/>
    <mergeCell ref="A4:A6"/>
    <mergeCell ref="B4:B6"/>
    <mergeCell ref="C4:C6"/>
    <mergeCell ref="D4:D6"/>
    <mergeCell ref="E4:E6"/>
  </mergeCells>
  <conditionalFormatting sqref="G8:G36">
    <cfRule type="expression" dxfId="8" priority="9">
      <formula>$G8="Done"</formula>
    </cfRule>
    <cfRule type="expression" dxfId="7" priority="10">
      <formula>$G8="In progress"</formula>
    </cfRule>
  </conditionalFormatting>
  <conditionalFormatting sqref="H5:Q6">
    <cfRule type="expression" dxfId="6" priority="8">
      <formula>AND(TODAY()&gt;=H$6,TODAY()&lt;H$6+IF(MOD(H$7,1)&gt;0,4,3))</formula>
    </cfRule>
  </conditionalFormatting>
  <conditionalFormatting sqref="H8:Q36">
    <cfRule type="expression" dxfId="5" priority="2">
      <formula>AND(ISNUMBER($D8),LEFT($A8,2)="1.",H$7&gt;=$D8,H$7&lt;=$E8)</formula>
    </cfRule>
    <cfRule type="expression" dxfId="4" priority="3">
      <formula>AND(ISNUMBER($D8),LEFT($A8,2)="2.",H$7&gt;=$D8,H$7&lt;=$E8)</formula>
    </cfRule>
    <cfRule type="expression" dxfId="3" priority="4">
      <formula>AND(ISNUMBER($D8),LEFT($A8,2)="3.",H$7&gt;=$D8,H$7&lt;=$E8)</formula>
    </cfRule>
    <cfRule type="expression" dxfId="2" priority="5">
      <formula>AND(ISNUMBER($D8),LEFT($A8,2)="4.",H$7&gt;=$D8,H$7&lt;=$E8)</formula>
    </cfRule>
    <cfRule type="expression" dxfId="1" priority="6">
      <formula>AND(ISNUMBER($D8),LEFT($A8,2)="5.",H$7&gt;=$D8,H$7&lt;=$E8)</formula>
    </cfRule>
    <cfRule type="expression" dxfId="0" priority="7">
      <formula>AND(ISNUMBER($D8),LEFT($A8,2)="6.",H$7&gt;=$D8,H$7&lt;=$E8)</formula>
    </cfRule>
  </conditionalFormatting>
  <dataValidations count="2">
    <dataValidation type="list" allowBlank="1" sqref="G9:G13 G15:G17 G19:G23 G25:G28 G30:G32 G34:G36" xr:uid="{00000000-0002-0000-0000-000000000000}">
      <formula1>"Done,In progress,Planned"</formula1>
      <formula2>0</formula2>
    </dataValidation>
    <dataValidation type="list" errorTitle="Week" error="Use a half-week: 6, 6.5, 7 ... 10.5" sqref="D9:E13 D15:E17 D19:E23 D25:E28 D30:E32 D34:E36" xr:uid="{00000000-0002-0000-0000-000001000000}">
      <formula1>"6,6.5,7,7.5,8,8.5,9,9.5,10,10.5"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Fizza Fatima</cp:lastModifiedBy>
  <cp:revision>0</cp:revision>
  <dcterms:created xsi:type="dcterms:W3CDTF">2026-10-27T15:06:42Z</dcterms:created>
  <dcterms:modified xsi:type="dcterms:W3CDTF">2026-10-27T17:05:25Z</dcterms:modified>
  <dc:language>en-US</dc:language>
</cp:coreProperties>
</file>